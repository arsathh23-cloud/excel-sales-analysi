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14d89d59f400/Desktop/Excel Sales Data Analytics/"/>
    </mc:Choice>
  </mc:AlternateContent>
  <xr:revisionPtr revIDLastSave="300" documentId="8_{75814BDA-725C-4D25-AC07-834ED6EEB5E9}" xr6:coauthVersionLast="47" xr6:coauthVersionMax="47" xr10:uidLastSave="{594EBEA1-94A4-42A9-B3FA-D041935C9831}"/>
  <bookViews>
    <workbookView xWindow="-108" yWindow="-108" windowWidth="23256" windowHeight="12456" activeTab="1" xr2:uid="{F119B135-183F-4A95-9664-B8939FE12F44}"/>
  </bookViews>
  <sheets>
    <sheet name="Sheet4" sheetId="4" r:id="rId1"/>
    <sheet name="Sheet5" sheetId="5" r:id="rId2"/>
    <sheet name="Sheet1" sheetId="1" r:id="rId3"/>
  </sheet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G8" i="1" s="1"/>
  <c r="G3" i="1"/>
  <c r="G4" i="1"/>
  <c r="G5" i="1"/>
  <c r="G6" i="1"/>
  <c r="G7" i="1"/>
</calcChain>
</file>

<file path=xl/sharedStrings.xml><?xml version="1.0" encoding="utf-8"?>
<sst xmlns="http://schemas.openxmlformats.org/spreadsheetml/2006/main" count="49" uniqueCount="28">
  <si>
    <t>Order ID</t>
  </si>
  <si>
    <t>Customer</t>
  </si>
  <si>
    <t>Product</t>
  </si>
  <si>
    <t>Qty</t>
  </si>
  <si>
    <t>Price</t>
  </si>
  <si>
    <t>Region</t>
  </si>
  <si>
    <t>Priya</t>
  </si>
  <si>
    <t>Keyboard</t>
  </si>
  <si>
    <t>Coimbatore</t>
  </si>
  <si>
    <t>Kumar</t>
  </si>
  <si>
    <t>Monitor</t>
  </si>
  <si>
    <t>Bangalore</t>
  </si>
  <si>
    <t>Ajay</t>
  </si>
  <si>
    <t>Laptop</t>
  </si>
  <si>
    <t>Chennai</t>
  </si>
  <si>
    <t>Sara</t>
  </si>
  <si>
    <t>Mouse</t>
  </si>
  <si>
    <t>Mani</t>
  </si>
  <si>
    <t>Ravi</t>
  </si>
  <si>
    <t>Row Labels</t>
  </si>
  <si>
    <t>Grand Total</t>
  </si>
  <si>
    <t>Sales</t>
  </si>
  <si>
    <t>Sum of Sales</t>
  </si>
  <si>
    <t>Sum of Qty</t>
  </si>
  <si>
    <t>Total Sales</t>
  </si>
  <si>
    <t>Total orders</t>
  </si>
  <si>
    <t>Total QTY</t>
  </si>
  <si>
    <t>Average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</si>
</sst>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1" fillId="3" borderId="0" xfId="0" applyFont="1" applyFill="1"/>
  </cellXfs>
  <cellStyles count="1">
    <cellStyle name="Normal" xfId="0" builtinId="0"/>
  </cellStyles>
  <dxfs count="10"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[Saels Dashboard.xlsx]Sheet4!Sales by Product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 </a:t>
            </a:r>
            <a:endParaRPr lang="en-US"/>
          </a:p>
        </c:rich>
      </c:tx>
      <c:layout>
        <c:manualLayout>
          <c:xMode val="edge"/>
          <c:yMode val="edge"/>
          <c:x val="0.35054818330603377"/>
          <c:y val="9.294791031858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Sheet4!$A$3:$A$7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Sheet4!$B$3:$B$7</c:f>
              <c:numCache>
                <c:formatCode>General</c:formatCode>
                <c:ptCount val="4"/>
                <c:pt idx="0">
                  <c:v>8400</c:v>
                </c:pt>
                <c:pt idx="1">
                  <c:v>50000</c:v>
                </c:pt>
                <c:pt idx="2">
                  <c:v>45000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7-48FB-A0A2-0BC364D6A6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9611407"/>
        <c:axId val="1529209807"/>
      </c:barChart>
      <c:catAx>
        <c:axId val="489611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09807"/>
        <c:crosses val="autoZero"/>
        <c:auto val="1"/>
        <c:lblAlgn val="ctr"/>
        <c:lblOffset val="100"/>
        <c:noMultiLvlLbl val="0"/>
      </c:catAx>
      <c:valAx>
        <c:axId val="15292098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1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[Saels Dashboard.xlsx]Sheet4!Sales by Region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	 </a:t>
            </a:r>
            <a:endParaRPr lang="en-US"/>
          </a:p>
        </c:rich>
      </c:tx>
      <c:layout>
        <c:manualLayout>
          <c:xMode val="edge"/>
          <c:yMode val="edge"/>
          <c:x val="0.36299386707279868"/>
          <c:y val="5.8679377759973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Sheet4!$A$10:$A$13</c:f>
              <c:strCache>
                <c:ptCount val="3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</c:strCache>
            </c:strRef>
          </c:cat>
          <c:val>
            <c:numRef>
              <c:f>Sheet4!$B$10:$B$13</c:f>
              <c:numCache>
                <c:formatCode>General</c:formatCode>
                <c:ptCount val="3"/>
                <c:pt idx="0">
                  <c:v>19800</c:v>
                </c:pt>
                <c:pt idx="1">
                  <c:v>80000</c:v>
                </c:pt>
                <c:pt idx="2">
                  <c:v>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9-4005-8CB1-C5ECE64A4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70848879"/>
        <c:axId val="1529409007"/>
        <c:axId val="0"/>
      </c:bar3DChart>
      <c:catAx>
        <c:axId val="207084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09007"/>
        <c:crosses val="autoZero"/>
        <c:auto val="1"/>
        <c:lblAlgn val="ctr"/>
        <c:lblOffset val="100"/>
        <c:noMultiLvlLbl val="0"/>
      </c:catAx>
      <c:valAx>
        <c:axId val="152940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4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[Saels Dashboard.xlsx]Sheet4!Quantity Sold by Product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QTY  BY PRODUCT </a:t>
            </a:r>
            <a:endParaRPr lang="en-US"/>
          </a:p>
        </c:rich>
      </c:tx>
      <c:layout>
        <c:manualLayout>
          <c:xMode val="edge"/>
          <c:yMode val="edge"/>
          <c:x val="0.37595046659269094"/>
          <c:y val="4.9055247531919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Sheet4!$A$16:$A$20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Sheet4!$B$16:$B$20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E-4EA1-9A8D-6AA5DD941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89659663"/>
        <c:axId val="1529205487"/>
        <c:axId val="0"/>
      </c:bar3DChart>
      <c:catAx>
        <c:axId val="4896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05487"/>
        <c:crosses val="autoZero"/>
        <c:auto val="1"/>
        <c:lblAlgn val="ctr"/>
        <c:lblOffset val="100"/>
        <c:noMultiLvlLbl val="0"/>
      </c:catAx>
      <c:valAx>
        <c:axId val="15292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37930</xdr:colOff>
      <xdr:row>3</xdr:row>
      <xdr:rowOff>183440</xdr:rowOff>
    </xdr:from>
    <xdr:to>
      <xdr:col>26</xdr:col>
      <xdr:colOff>193230</xdr:colOff>
      <xdr:row>11</xdr:row>
      <xdr:rowOff>105766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FCD51981-48DA-9D41-76A9-9AC937A0976C}"/>
            </a:ext>
          </a:extLst>
        </xdr:cNvPr>
        <xdr:cNvGrpSpPr/>
      </xdr:nvGrpSpPr>
      <xdr:grpSpPr>
        <a:xfrm>
          <a:off x="4339543" y="736505"/>
          <a:ext cx="11831106" cy="1397164"/>
          <a:chOff x="35882" y="187537"/>
          <a:chExt cx="11817451" cy="1366096"/>
        </a:xfrm>
        <a:solidFill>
          <a:schemeClr val="bg2"/>
        </a:solidFill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7C905F84-F5A5-5E13-69BD-F18EE47561C9}"/>
              </a:ext>
            </a:extLst>
          </xdr:cNvPr>
          <xdr:cNvGrpSpPr/>
        </xdr:nvGrpSpPr>
        <xdr:grpSpPr>
          <a:xfrm>
            <a:off x="35882" y="195157"/>
            <a:ext cx="2604548" cy="1358476"/>
            <a:chOff x="213360" y="137160"/>
            <a:chExt cx="2613660" cy="1379220"/>
          </a:xfrm>
          <a:grpFill/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C4E77F34-E593-FC10-427E-0889547167EC}"/>
                </a:ext>
              </a:extLst>
            </xdr:cNvPr>
            <xdr:cNvSpPr/>
          </xdr:nvSpPr>
          <xdr:spPr>
            <a:xfrm>
              <a:off x="213360" y="137160"/>
              <a:ext cx="2613660" cy="1379220"/>
            </a:xfrm>
            <a:prstGeom prst="rect">
              <a:avLst/>
            </a:prstGeom>
            <a:grp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BB3E055-85D1-2FAC-8B3E-8DAC432A0EE1}"/>
                </a:ext>
              </a:extLst>
            </xdr:cNvPr>
            <xdr:cNvSpPr txBox="1"/>
          </xdr:nvSpPr>
          <xdr:spPr>
            <a:xfrm>
              <a:off x="815340" y="335280"/>
              <a:ext cx="1295400" cy="22098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500" b="1"/>
                <a:t>TOTAL SALES</a:t>
              </a:r>
            </a:p>
          </xdr:txBody>
        </xdr:sp>
        <xdr:sp macro="" textlink="Sheet1!G8">
          <xdr:nvSpPr>
            <xdr:cNvPr id="4" name="TextBox 3">
              <a:extLst>
                <a:ext uri="{FF2B5EF4-FFF2-40B4-BE49-F238E27FC236}">
                  <a16:creationId xmlns:a16="http://schemas.microsoft.com/office/drawing/2014/main" id="{5B227A01-CC6F-B4F1-F6A1-25F682398188}"/>
                </a:ext>
              </a:extLst>
            </xdr:cNvPr>
            <xdr:cNvSpPr txBox="1"/>
          </xdr:nvSpPr>
          <xdr:spPr>
            <a:xfrm>
              <a:off x="731520" y="708660"/>
              <a:ext cx="1577340" cy="41910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lvl="0" algn="ctr"/>
              <a:fld id="{7D40E699-B3F1-4903-AE7A-F1FD0AFD0D6A}" type="TxLink">
                <a:rPr lang="en-US" sz="22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lvl="0" algn="ctr"/>
                <a:t>108400</a:t>
              </a:fld>
              <a:endParaRPr lang="en-IN" sz="2200" b="1"/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7E3A5A96-C776-D93E-4F7D-B95309BEAF43}"/>
              </a:ext>
            </a:extLst>
          </xdr:cNvPr>
          <xdr:cNvGrpSpPr/>
        </xdr:nvGrpSpPr>
        <xdr:grpSpPr>
          <a:xfrm>
            <a:off x="6138333" y="187537"/>
            <a:ext cx="2630594" cy="1358476"/>
            <a:chOff x="243840" y="3429000"/>
            <a:chExt cx="2613660" cy="1379220"/>
          </a:xfrm>
          <a:grpFill/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7F40C97-6637-4A48-B92B-A6E91949E25E}"/>
                </a:ext>
              </a:extLst>
            </xdr:cNvPr>
            <xdr:cNvSpPr/>
          </xdr:nvSpPr>
          <xdr:spPr>
            <a:xfrm>
              <a:off x="243840" y="3429000"/>
              <a:ext cx="2613660" cy="1379220"/>
            </a:xfrm>
            <a:prstGeom prst="rect">
              <a:avLst/>
            </a:prstGeom>
            <a:grp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401CCB9-2D52-4124-AAED-73A54F0100F2}"/>
                </a:ext>
              </a:extLst>
            </xdr:cNvPr>
            <xdr:cNvSpPr txBox="1"/>
          </xdr:nvSpPr>
          <xdr:spPr>
            <a:xfrm>
              <a:off x="845820" y="3627120"/>
              <a:ext cx="1295400" cy="22098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500" b="1"/>
                <a:t>TOTAL QTY	</a:t>
              </a:r>
            </a:p>
          </xdr:txBody>
        </xdr:sp>
        <xdr:sp macro="" textlink="Sheet1!I2">
          <xdr:nvSpPr>
            <xdr:cNvPr id="11" name="TextBox 10">
              <a:extLst>
                <a:ext uri="{FF2B5EF4-FFF2-40B4-BE49-F238E27FC236}">
                  <a16:creationId xmlns:a16="http://schemas.microsoft.com/office/drawing/2014/main" id="{B4B1B874-9A11-47AD-A14F-75214BB6E907}"/>
                </a:ext>
              </a:extLst>
            </xdr:cNvPr>
            <xdr:cNvSpPr txBox="1"/>
          </xdr:nvSpPr>
          <xdr:spPr>
            <a:xfrm>
              <a:off x="762000" y="4000500"/>
              <a:ext cx="1577340" cy="41910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94A54D8-0C45-4ED8-85F1-453CADA66874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21</a:t>
              </a:fld>
              <a:endParaRPr lang="en-IN" sz="2400" b="1"/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514BF88F-E67B-6BD2-F262-620B0EC660DC}"/>
              </a:ext>
            </a:extLst>
          </xdr:cNvPr>
          <xdr:cNvGrpSpPr/>
        </xdr:nvGrpSpPr>
        <xdr:grpSpPr>
          <a:xfrm>
            <a:off x="9222740" y="195157"/>
            <a:ext cx="2630593" cy="1358476"/>
            <a:chOff x="9159240" y="198120"/>
            <a:chExt cx="2613660" cy="1379220"/>
          </a:xfrm>
          <a:grpFill/>
        </xdr:grpSpPr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851951B8-9D2B-4B36-A5C4-E4827A3C58E1}"/>
                </a:ext>
              </a:extLst>
            </xdr:cNvPr>
            <xdr:cNvSpPr/>
          </xdr:nvSpPr>
          <xdr:spPr>
            <a:xfrm>
              <a:off x="9159240" y="198120"/>
              <a:ext cx="2613660" cy="1379220"/>
            </a:xfrm>
            <a:prstGeom prst="rect">
              <a:avLst/>
            </a:prstGeom>
            <a:grp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233C71-30E1-4784-85C0-F593EFB50093}"/>
                </a:ext>
              </a:extLst>
            </xdr:cNvPr>
            <xdr:cNvSpPr txBox="1"/>
          </xdr:nvSpPr>
          <xdr:spPr>
            <a:xfrm>
              <a:off x="9761220" y="312420"/>
              <a:ext cx="1325880" cy="30480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500" b="1"/>
                <a:t>Average order</a:t>
              </a:r>
            </a:p>
          </xdr:txBody>
        </xdr:sp>
        <xdr:sp macro="" textlink="Sheet1!J2">
          <xdr:nvSpPr>
            <xdr:cNvPr id="14" name="TextBox 13">
              <a:extLst>
                <a:ext uri="{FF2B5EF4-FFF2-40B4-BE49-F238E27FC236}">
                  <a16:creationId xmlns:a16="http://schemas.microsoft.com/office/drawing/2014/main" id="{004A92A7-1197-4292-AE84-4327036A5076}"/>
                </a:ext>
              </a:extLst>
            </xdr:cNvPr>
            <xdr:cNvSpPr txBox="1"/>
          </xdr:nvSpPr>
          <xdr:spPr>
            <a:xfrm>
              <a:off x="9677400" y="769620"/>
              <a:ext cx="1577340" cy="41910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0391DB2-675C-4B75-941C-916D903868F9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54210.5</a:t>
              </a:fld>
              <a:endParaRPr lang="en-IN" sz="2400" b="1"/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E459A22D-A57B-53FF-EBC4-D66F9C636151}"/>
              </a:ext>
            </a:extLst>
          </xdr:cNvPr>
          <xdr:cNvGrpSpPr/>
        </xdr:nvGrpSpPr>
        <xdr:grpSpPr>
          <a:xfrm>
            <a:off x="3069167" y="195157"/>
            <a:ext cx="2630593" cy="1358476"/>
            <a:chOff x="3665220" y="190500"/>
            <a:chExt cx="2613660" cy="1379220"/>
          </a:xfrm>
          <a:grpFill/>
        </xdr:grpSpPr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C06405-1135-424E-96B6-81C54D5A7CC9}"/>
                </a:ext>
              </a:extLst>
            </xdr:cNvPr>
            <xdr:cNvSpPr/>
          </xdr:nvSpPr>
          <xdr:spPr>
            <a:xfrm>
              <a:off x="3665220" y="190500"/>
              <a:ext cx="2613660" cy="1379220"/>
            </a:xfrm>
            <a:prstGeom prst="rect">
              <a:avLst/>
            </a:prstGeom>
            <a:grp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2D77AAF-7075-4CA2-A7C6-224377963890}"/>
                </a:ext>
              </a:extLst>
            </xdr:cNvPr>
            <xdr:cNvSpPr txBox="1"/>
          </xdr:nvSpPr>
          <xdr:spPr>
            <a:xfrm>
              <a:off x="4282440" y="388620"/>
              <a:ext cx="1295400" cy="22098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500" b="1"/>
                <a:t>TOTAL ORERS</a:t>
              </a:r>
            </a:p>
          </xdr:txBody>
        </xdr:sp>
        <xdr:sp macro="" textlink="Sheet1!H2">
          <xdr:nvSpPr>
            <xdr:cNvPr id="20" name="TextBox 19">
              <a:extLst>
                <a:ext uri="{FF2B5EF4-FFF2-40B4-BE49-F238E27FC236}">
                  <a16:creationId xmlns:a16="http://schemas.microsoft.com/office/drawing/2014/main" id="{F7C632C0-D77B-41A5-B2AF-A894B374940E}"/>
                </a:ext>
              </a:extLst>
            </xdr:cNvPr>
            <xdr:cNvSpPr txBox="1"/>
          </xdr:nvSpPr>
          <xdr:spPr>
            <a:xfrm>
              <a:off x="4198620" y="762000"/>
              <a:ext cx="1577340" cy="419100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E557C86-7C24-43C9-907D-C41435E99659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6</a:t>
              </a:fld>
              <a:endParaRPr lang="en-IN" sz="2400" b="1"/>
            </a:p>
          </xdr:txBody>
        </xdr:sp>
      </xdr:grpSp>
    </xdr:grpSp>
    <xdr:clientData/>
  </xdr:twoCellAnchor>
  <xdr:twoCellAnchor>
    <xdr:from>
      <xdr:col>5</xdr:col>
      <xdr:colOff>187226</xdr:colOff>
      <xdr:row>14</xdr:row>
      <xdr:rowOff>136335</xdr:rowOff>
    </xdr:from>
    <xdr:to>
      <xdr:col>14</xdr:col>
      <xdr:colOff>435587</xdr:colOff>
      <xdr:row>29</xdr:row>
      <xdr:rowOff>180785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1F14B7C-3D5E-45AA-90CC-1931F5EF7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490588</xdr:colOff>
      <xdr:row>14</xdr:row>
      <xdr:rowOff>142363</xdr:rowOff>
    </xdr:from>
    <xdr:to>
      <xdr:col>27</xdr:col>
      <xdr:colOff>233516</xdr:colOff>
      <xdr:row>30</xdr:row>
      <xdr:rowOff>2458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B03B800-3679-44C5-BFE5-72EF55215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335425</xdr:colOff>
      <xdr:row>31</xdr:row>
      <xdr:rowOff>166620</xdr:rowOff>
    </xdr:from>
    <xdr:to>
      <xdr:col>22</xdr:col>
      <xdr:colOff>247805</xdr:colOff>
      <xdr:row>54</xdr:row>
      <xdr:rowOff>86033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2134507-A6CA-4184-8C29-0EA838605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edict" refreshedDate="46298.775737731485" createdVersion="8" refreshedVersion="8" minRefreshableVersion="3" recordCount="6" xr:uid="{7E064B7A-DEF1-4164-BC53-C195BB8C57D1}">
  <cacheSource type="worksheet">
    <worksheetSource name="Table1"/>
  </cacheSource>
  <cacheFields count="7">
    <cacheField name="Order ID" numFmtId="0">
      <sharedItems containsSemiMixedTypes="0" containsString="0" containsNumber="1" containsInteger="1" minValue="1003" maxValue="1008"/>
    </cacheField>
    <cacheField name="Customer" numFmtId="0">
      <sharedItems/>
    </cacheField>
    <cacheField name="Product" numFmtId="0">
      <sharedItems count="4">
        <s v="Keyboard"/>
        <s v="Monitor"/>
        <s v="Laptop"/>
        <s v="Mouse"/>
      </sharedItems>
    </cacheField>
    <cacheField name="Q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500" maxValue="50000"/>
    </cacheField>
    <cacheField name="Region" numFmtId="0">
      <sharedItems count="3">
        <s v="Coimbatore"/>
        <s v="Bangalore"/>
        <s v="Chennai"/>
      </sharedItems>
    </cacheField>
    <cacheField name="Sales" numFmtId="0">
      <sharedItems containsSemiMixedTypes="0" containsString="0" containsNumber="1" containsInteger="1" minValue="36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03"/>
    <s v="Priya"/>
    <x v="0"/>
    <n v="3"/>
    <n v="1200"/>
    <x v="0"/>
    <n v="3600"/>
  </r>
  <r>
    <n v="1004"/>
    <s v="Kumar"/>
    <x v="1"/>
    <n v="1"/>
    <n v="15000"/>
    <x v="1"/>
    <n v="15000"/>
  </r>
  <r>
    <n v="1005"/>
    <s v="Ajay"/>
    <x v="2"/>
    <n v="1"/>
    <n v="50000"/>
    <x v="2"/>
    <n v="50000"/>
  </r>
  <r>
    <n v="1006"/>
    <s v="Sara"/>
    <x v="3"/>
    <n v="10"/>
    <n v="500"/>
    <x v="0"/>
    <n v="5000"/>
  </r>
  <r>
    <n v="1007"/>
    <s v="Mani"/>
    <x v="0"/>
    <n v="4"/>
    <n v="1200"/>
    <x v="1"/>
    <n v="4800"/>
  </r>
  <r>
    <n v="1008"/>
    <s v="Ravi"/>
    <x v="1"/>
    <n v="2"/>
    <n v="15000"/>
    <x v="2"/>
    <n v="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3A2F5-65F5-49A0-B997-73F7C9D3499E}" name="Quantity Sold by Product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20" firstHeaderRow="1" firstDataRow="1" firstDataCol="1"/>
  <pivotFields count="7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ty" fld="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F0F84-6DC6-489D-BC76-E82FAE98AA63}" name="Sales by Product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2:B7" firstHeaderRow="1" firstDataRow="1" firstDataCol="1"/>
  <pivotFields count="7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formats count="1">
    <format dxfId="8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73D63-8206-4FC6-B847-CF4B15970FA4}" name="Sales by Region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9:B13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formats count="1">
    <format dxfId="9">
      <pivotArea dataOnly="0" labelOnly="1" outline="0" axis="axisValues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7B472-B7F5-451B-9A72-E6541F11EFE5}" name="Table1" displayName="Table1" ref="A1:J8" totalsRowShown="0" headerRowDxfId="7">
  <autoFilter ref="A1:J8" xr:uid="{E5B7B472-B7F5-451B-9A72-E6541F11EFE5}"/>
  <tableColumns count="10">
    <tableColumn id="1" xr3:uid="{61EDFB24-4CC4-4532-A898-B9035D19A58B}" name="Order ID" dataDxfId="6"/>
    <tableColumn id="2" xr3:uid="{78DAF853-FE83-4E47-9E57-0C1C35A13076}" name="Customer" dataDxfId="5"/>
    <tableColumn id="3" xr3:uid="{901BFB4A-B11C-4034-8A8F-885D2F242735}" name="Product" dataDxfId="4"/>
    <tableColumn id="4" xr3:uid="{17FE79C8-E846-45C2-A3EC-9DBFF9D19867}" name="Qty" dataDxfId="3"/>
    <tableColumn id="5" xr3:uid="{075ED303-1E17-4CC3-BA99-B7575712EF74}" name="Price" dataDxfId="2"/>
    <tableColumn id="6" xr3:uid="{36D2DF0E-5567-4011-B46F-5E950DFA70DF}" name="Region" dataDxfId="1"/>
    <tableColumn id="7" xr3:uid="{A10D8A67-AC3E-4ED2-A931-6CBCF685D14B}" name="Sales" dataDxfId="0">
      <calculatedColumnFormula>Table1[[#This Row],[Qty]]*Table1[[#This Row],[Price]]</calculatedColumnFormula>
    </tableColumn>
    <tableColumn id="8" xr3:uid="{20708534-5777-45B8-BE5A-DCE9C1435EDF}" name="Total orders"/>
    <tableColumn id="9" xr3:uid="{6D5DAE16-4D21-4F37-B91D-46712A2933B1}" name="Total QTY"/>
    <tableColumn id="10" xr3:uid="{05290530-31A4-43A2-832E-4A927C47195E}" name="Average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06AA-1AC4-44A9-BC79-2725859D8208}">
  <dimension ref="A2:B20"/>
  <sheetViews>
    <sheetView workbookViewId="0">
      <selection activeCell="A15" sqref="A15:B20"/>
    </sheetView>
  </sheetViews>
  <sheetFormatPr defaultRowHeight="14.4" x14ac:dyDescent="0.3"/>
  <cols>
    <col min="1" max="1" width="12.5546875" bestFit="1" customWidth="1"/>
    <col min="2" max="2" width="11.6640625" bestFit="1" customWidth="1"/>
    <col min="4" max="4" width="12.5546875" bestFit="1" customWidth="1"/>
    <col min="5" max="5" width="11.6640625" bestFit="1" customWidth="1"/>
    <col min="8" max="8" width="12.5546875" bestFit="1" customWidth="1"/>
    <col min="9" max="9" width="10.44140625" bestFit="1" customWidth="1"/>
  </cols>
  <sheetData>
    <row r="2" spans="1:2" ht="28.8" x14ac:dyDescent="0.3">
      <c r="A2" s="5" t="s">
        <v>19</v>
      </c>
      <c r="B2" s="9" t="s">
        <v>22</v>
      </c>
    </row>
    <row r="3" spans="1:2" x14ac:dyDescent="0.3">
      <c r="A3" s="6" t="s">
        <v>7</v>
      </c>
      <c r="B3">
        <v>8400</v>
      </c>
    </row>
    <row r="4" spans="1:2" x14ac:dyDescent="0.3">
      <c r="A4" s="6" t="s">
        <v>13</v>
      </c>
      <c r="B4">
        <v>50000</v>
      </c>
    </row>
    <row r="5" spans="1:2" x14ac:dyDescent="0.3">
      <c r="A5" s="6" t="s">
        <v>10</v>
      </c>
      <c r="B5">
        <v>45000</v>
      </c>
    </row>
    <row r="6" spans="1:2" x14ac:dyDescent="0.3">
      <c r="A6" s="6" t="s">
        <v>16</v>
      </c>
      <c r="B6">
        <v>5000</v>
      </c>
    </row>
    <row r="7" spans="1:2" x14ac:dyDescent="0.3">
      <c r="A7" s="6" t="s">
        <v>20</v>
      </c>
      <c r="B7">
        <v>108400</v>
      </c>
    </row>
    <row r="9" spans="1:2" ht="28.8" x14ac:dyDescent="0.3">
      <c r="A9" s="5" t="s">
        <v>19</v>
      </c>
      <c r="B9" s="9" t="s">
        <v>22</v>
      </c>
    </row>
    <row r="10" spans="1:2" x14ac:dyDescent="0.3">
      <c r="A10" s="6" t="s">
        <v>11</v>
      </c>
      <c r="B10">
        <v>19800</v>
      </c>
    </row>
    <row r="11" spans="1:2" x14ac:dyDescent="0.3">
      <c r="A11" s="6" t="s">
        <v>14</v>
      </c>
      <c r="B11">
        <v>80000</v>
      </c>
    </row>
    <row r="12" spans="1:2" x14ac:dyDescent="0.3">
      <c r="A12" s="6" t="s">
        <v>8</v>
      </c>
      <c r="B12">
        <v>8600</v>
      </c>
    </row>
    <row r="13" spans="1:2" x14ac:dyDescent="0.3">
      <c r="A13" s="6" t="s">
        <v>20</v>
      </c>
      <c r="B13">
        <v>108400</v>
      </c>
    </row>
    <row r="15" spans="1:2" x14ac:dyDescent="0.3">
      <c r="A15" s="5" t="s">
        <v>19</v>
      </c>
      <c r="B15" t="s">
        <v>23</v>
      </c>
    </row>
    <row r="16" spans="1:2" x14ac:dyDescent="0.3">
      <c r="A16" s="6" t="s">
        <v>7</v>
      </c>
      <c r="B16">
        <v>7</v>
      </c>
    </row>
    <row r="17" spans="1:2" x14ac:dyDescent="0.3">
      <c r="A17" s="6" t="s">
        <v>13</v>
      </c>
      <c r="B17">
        <v>1</v>
      </c>
    </row>
    <row r="18" spans="1:2" x14ac:dyDescent="0.3">
      <c r="A18" s="6" t="s">
        <v>10</v>
      </c>
      <c r="B18">
        <v>3</v>
      </c>
    </row>
    <row r="19" spans="1:2" x14ac:dyDescent="0.3">
      <c r="A19" s="6" t="s">
        <v>16</v>
      </c>
      <c r="B19">
        <v>10</v>
      </c>
    </row>
    <row r="20" spans="1:2" x14ac:dyDescent="0.3">
      <c r="A20" s="6" t="s">
        <v>20</v>
      </c>
      <c r="B20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E601-B1D5-4A06-A012-71B6C428A33B}">
  <dimension ref="A1"/>
  <sheetViews>
    <sheetView showGridLines="0" tabSelected="1" zoomScale="62" workbookViewId="0">
      <selection activeCell="AA46" sqref="AA46"/>
    </sheetView>
  </sheetViews>
  <sheetFormatPr defaultRowHeight="14.4" x14ac:dyDescent="0.3"/>
  <cols>
    <col min="1" max="16384" width="8.88671875" style="10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C2FC-FE37-4D19-B34C-6EA7776D58D2}">
  <dimension ref="A1:J17"/>
  <sheetViews>
    <sheetView workbookViewId="0">
      <selection activeCell="J18" sqref="J18"/>
    </sheetView>
  </sheetViews>
  <sheetFormatPr defaultRowHeight="14.4" x14ac:dyDescent="0.3"/>
  <cols>
    <col min="1" max="1" width="9.88671875" customWidth="1"/>
    <col min="2" max="2" width="11" customWidth="1"/>
    <col min="3" max="3" width="9.5546875" customWidth="1"/>
  </cols>
  <sheetData>
    <row r="1" spans="1:10" ht="28.8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21</v>
      </c>
      <c r="H1" s="3" t="s">
        <v>25</v>
      </c>
      <c r="I1" s="3" t="s">
        <v>26</v>
      </c>
      <c r="J1" s="3" t="s">
        <v>27</v>
      </c>
    </row>
    <row r="2" spans="1:10" ht="28.8" x14ac:dyDescent="0.3">
      <c r="A2" s="1">
        <v>1003</v>
      </c>
      <c r="B2" s="4" t="s">
        <v>6</v>
      </c>
      <c r="C2" s="4" t="s">
        <v>7</v>
      </c>
      <c r="D2" s="1">
        <v>3</v>
      </c>
      <c r="E2" s="1">
        <v>1200</v>
      </c>
      <c r="F2" s="4" t="s">
        <v>8</v>
      </c>
      <c r="G2">
        <f>Table1[[#This Row],[Qty]]*Table1[[#This Row],[Price]]</f>
        <v>3600</v>
      </c>
      <c r="H2">
        <f>COUNT(D2:D7)</f>
        <v>6</v>
      </c>
      <c r="I2">
        <f>SUM(D2:D7)</f>
        <v>21</v>
      </c>
      <c r="J2">
        <f>AVERAGE(G8,Table1[[#This Row],[Total QTY]])</f>
        <v>54210.5</v>
      </c>
    </row>
    <row r="3" spans="1:10" ht="28.8" x14ac:dyDescent="0.3">
      <c r="A3" s="1">
        <v>1004</v>
      </c>
      <c r="B3" s="4" t="s">
        <v>9</v>
      </c>
      <c r="C3" s="4" t="s">
        <v>10</v>
      </c>
      <c r="D3" s="1">
        <v>1</v>
      </c>
      <c r="E3" s="1">
        <v>15000</v>
      </c>
      <c r="F3" s="4" t="s">
        <v>11</v>
      </c>
      <c r="G3">
        <f>Table1[[#This Row],[Qty]]*Table1[[#This Row],[Price]]</f>
        <v>15000</v>
      </c>
    </row>
    <row r="4" spans="1:10" x14ac:dyDescent="0.3">
      <c r="A4" s="1">
        <v>1005</v>
      </c>
      <c r="B4" s="4" t="s">
        <v>12</v>
      </c>
      <c r="C4" s="4" t="s">
        <v>13</v>
      </c>
      <c r="D4" s="1">
        <v>1</v>
      </c>
      <c r="E4" s="1">
        <v>50000</v>
      </c>
      <c r="F4" s="4" t="s">
        <v>14</v>
      </c>
      <c r="G4">
        <f>Table1[[#This Row],[Qty]]*Table1[[#This Row],[Price]]</f>
        <v>50000</v>
      </c>
    </row>
    <row r="5" spans="1:10" ht="28.8" x14ac:dyDescent="0.3">
      <c r="A5" s="1">
        <v>1006</v>
      </c>
      <c r="B5" s="4" t="s">
        <v>15</v>
      </c>
      <c r="C5" s="4" t="s">
        <v>16</v>
      </c>
      <c r="D5" s="1">
        <v>10</v>
      </c>
      <c r="E5" s="1">
        <v>500</v>
      </c>
      <c r="F5" s="4" t="s">
        <v>8</v>
      </c>
      <c r="G5">
        <f>Table1[[#This Row],[Qty]]*Table1[[#This Row],[Price]]</f>
        <v>5000</v>
      </c>
    </row>
    <row r="6" spans="1:10" ht="28.8" x14ac:dyDescent="0.3">
      <c r="A6" s="1">
        <v>1007</v>
      </c>
      <c r="B6" s="4" t="s">
        <v>17</v>
      </c>
      <c r="C6" s="4" t="s">
        <v>7</v>
      </c>
      <c r="D6" s="1">
        <v>4</v>
      </c>
      <c r="E6" s="1">
        <v>1200</v>
      </c>
      <c r="F6" s="4" t="s">
        <v>11</v>
      </c>
      <c r="G6">
        <f>Table1[[#This Row],[Qty]]*Table1[[#This Row],[Price]]</f>
        <v>4800</v>
      </c>
    </row>
    <row r="7" spans="1:10" x14ac:dyDescent="0.3">
      <c r="A7" s="1">
        <v>1008</v>
      </c>
      <c r="B7" s="4" t="s">
        <v>18</v>
      </c>
      <c r="C7" s="4" t="s">
        <v>10</v>
      </c>
      <c r="D7" s="1">
        <v>2</v>
      </c>
      <c r="E7" s="1">
        <v>15000</v>
      </c>
      <c r="F7" s="4" t="s">
        <v>14</v>
      </c>
      <c r="G7">
        <f>Table1[[#This Row],[Qty]]*Table1[[#This Row],[Price]]</f>
        <v>30000</v>
      </c>
    </row>
    <row r="8" spans="1:10" ht="28.8" x14ac:dyDescent="0.3">
      <c r="A8" s="1"/>
      <c r="B8" s="4"/>
      <c r="C8" s="4"/>
      <c r="D8" s="1"/>
      <c r="E8" s="1"/>
      <c r="F8" s="7" t="s">
        <v>24</v>
      </c>
      <c r="G8">
        <f>SUM(G2,G3,G4,G5,G6,G7)</f>
        <v>108400</v>
      </c>
    </row>
    <row r="17" spans="5:5" x14ac:dyDescent="0.3">
      <c r="E1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Nesanraj</dc:creator>
  <cp:lastModifiedBy>Benedict Nesanraj</cp:lastModifiedBy>
  <dcterms:created xsi:type="dcterms:W3CDTF">2026-10-03T13:03:54Z</dcterms:created>
  <dcterms:modified xsi:type="dcterms:W3CDTF">2026-10-03T14:21:11Z</dcterms:modified>
</cp:coreProperties>
</file>